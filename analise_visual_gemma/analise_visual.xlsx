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 FP" sheetId="1" r:id="rId4"/>
    <sheet state="visible" name="Gemma FN" sheetId="2" r:id="rId5"/>
    <sheet state="visible" name="Guia de Categorias" sheetId="3" r:id="rId6"/>
  </sheets>
  <definedNames>
    <definedName hidden="1" localSheetId="0" name="_xlnm._FilterDatabase">'Gemma FP'!$A$4:$E$50</definedName>
  </definedNames>
  <calcPr/>
  <extLst>
    <ext uri="GoogleSheetsCustomDataVersion2">
      <go:sheetsCustomData xmlns:go="http://customooxmlschemas.google.com/" r:id="rId7" roundtripDataChecksum="M8AExyBZ9O5/OMJwzWSHe4oHbxVsuh97dNLj5Hrs3fA="/>
    </ext>
  </extLst>
</workbook>
</file>

<file path=xl/sharedStrings.xml><?xml version="1.0" encoding="utf-8"?>
<sst xmlns="http://schemas.openxmlformats.org/spreadsheetml/2006/main" count="226" uniqueCount="145">
  <si>
    <t>INSPEÇÃO VISUAL — GEMMA 3 27B — FALSOS POSITIVOS (FP)</t>
  </si>
  <si>
    <t>Imagens nas quais o modelo identificou lixo onde NÃO havia (alarme indevido)</t>
  </si>
  <si>
    <t>Nº</t>
  </si>
  <si>
    <t>Descrição da cena</t>
  </si>
  <si>
    <t>Categoria</t>
  </si>
  <si>
    <t>Hipótese / explicação</t>
  </si>
  <si>
    <t>Observações adicionais</t>
  </si>
  <si>
    <t>Praça limpa, lona preta no gramado</t>
  </si>
  <si>
    <t>OBJ</t>
  </si>
  <si>
    <t>VLM pode ter identificado a lona preta como lixo</t>
  </si>
  <si>
    <t>Duas casas, calçadas limpas, garrafa de água na frente</t>
  </si>
  <si>
    <t>Garrafa PET com água (prática cultural para afastar animais) interpretada como lixo</t>
  </si>
  <si>
    <t>Casa na esquina, calçadas limpas</t>
  </si>
  <si>
    <t>IND</t>
  </si>
  <si>
    <t>Não foi possível formular hipótese sobre a causa do erro após inspeção visual.</t>
  </si>
  <si>
    <t>Cadeiras e mesas na rua, sem lixo</t>
  </si>
  <si>
    <t>Mobiliário na rua interpretado como descarte</t>
  </si>
  <si>
    <t>Casa, calçadas limpas; cano preto e garrafa PET na rua</t>
  </si>
  <si>
    <t>Cano ou garrafa PET identificados como lixo</t>
  </si>
  <si>
    <t>Esquina, calçadas e ruas limpas</t>
  </si>
  <si>
    <t>Casa, calçadas limpas</t>
  </si>
  <si>
    <t>Casa e árvores; objetos ao fundo semelhantes a sacos</t>
  </si>
  <si>
    <t>Objetos distantes semelhantes a sacos</t>
  </si>
  <si>
    <t>Esquina limpa com rampa</t>
  </si>
  <si>
    <t>Esquina limpa, pequena vegetação</t>
  </si>
  <si>
    <t>Calçada larga, pequena vegetação</t>
  </si>
  <si>
    <t>VEG</t>
  </si>
  <si>
    <t>Vegetação na calçada confundida com desordem</t>
  </si>
  <si>
    <t>Esquina, vegetação decorativa</t>
  </si>
  <si>
    <t>Vegetação decorativa confundida</t>
  </si>
  <si>
    <t>Fachada azul, pequena vegetação na calçada</t>
  </si>
  <si>
    <t>Vegetação na calçada</t>
  </si>
  <si>
    <t>Esquina, casa à venda, calçada deteriorada</t>
  </si>
  <si>
    <t>DET</t>
  </si>
  <si>
    <t>Deterioração da calçada interpretada como lixo</t>
  </si>
  <si>
    <t>Esquina limpa</t>
  </si>
  <si>
    <t>Calçada com muro de vegetação</t>
  </si>
  <si>
    <t>Vegetação exuberante confundida</t>
  </si>
  <si>
    <t>Calçada com carros e pontos de vegetação</t>
  </si>
  <si>
    <t>AMB</t>
  </si>
  <si>
    <t>Contexto visual complexo com vegetação</t>
  </si>
  <si>
    <t>Calçada de lojas automotivas</t>
  </si>
  <si>
    <t>Casa verde, orelhão na calçada</t>
  </si>
  <si>
    <t>Casa com portão pixado, pouca vegetação</t>
  </si>
  <si>
    <t>Deterioração (pixação) interpretada como desordem</t>
  </si>
  <si>
    <t>Calçada, casas e carro</t>
  </si>
  <si>
    <t>Casa verde, calçada ampla e limpa</t>
  </si>
  <si>
    <t>Casas, calçada e rua sem lixo</t>
  </si>
  <si>
    <t>Casas, calçada e pequena vegetação, sem lixo</t>
  </si>
  <si>
    <t>Casas, rua e calçada limpa, pequena vegetação no meio fio</t>
  </si>
  <si>
    <t>Casa e calçada limpa, árvore</t>
  </si>
  <si>
    <t>Calçada com vegetação abundante e sacos/pedras dispostos</t>
  </si>
  <si>
    <t>VLM interpretou sacos/pedras + vegetação como lixo</t>
  </si>
  <si>
    <t>Esquina com alta vegetação, rua não asfaltada, aparência rural</t>
  </si>
  <si>
    <t>RUR</t>
  </si>
  <si>
    <t>Contexto rural + vegetação colaborou para má classificação</t>
  </si>
  <si>
    <t>Casa e calçada sem lixo visível</t>
  </si>
  <si>
    <t>Fachada de casa, calçada com rampa, ambiente limpo</t>
  </si>
  <si>
    <t>Rua com vegetação, planta decorativa, duas pessoas, casa amarela</t>
  </si>
  <si>
    <t>Vegetação + presença de pessoas pode ter criado contexto ambíguo</t>
  </si>
  <si>
    <t>Casa grande e amarela na esquina</t>
  </si>
  <si>
    <t>Casa amarela e calçada limpa</t>
  </si>
  <si>
    <t>Calçada com rampa e escada, sem lixo</t>
  </si>
  <si>
    <t>Esquina com rua e calçada de terra, ambiente interiorano</t>
  </si>
  <si>
    <t>Ambiente rural/informal sem pavimentação</t>
  </si>
  <si>
    <t>Casa duplex, vegetação decorativa, calçada limpa</t>
  </si>
  <si>
    <t>Vegetação decorativa</t>
  </si>
  <si>
    <t>Casa de esquina com pedras na esquina</t>
  </si>
  <si>
    <t>Pedras interpretadas como lixo</t>
  </si>
  <si>
    <t>Casa pequena, calçada e rua sem lixo aparente</t>
  </si>
  <si>
    <t>Casa e ponto comercial com cadeiras, moto e vegetação</t>
  </si>
  <si>
    <t>Contexto visual complexo (mobiliário + vegetação)</t>
  </si>
  <si>
    <t>Casas e calçada com rua de pedra, sem lixo</t>
  </si>
  <si>
    <t>Calçada/rua de pedra pode ter parecido irregular</t>
  </si>
  <si>
    <t>Fachada verde com alta presença de plantas decorativas</t>
  </si>
  <si>
    <t>Excesso de vegetação ornamental</t>
  </si>
  <si>
    <t>Casa em ambiente rural, alta vegetação, calçada de terra</t>
  </si>
  <si>
    <t>Contexto rural + calçada de terra</t>
  </si>
  <si>
    <t>Casas e calçada limpa com excesso de vegetação nas extremidades</t>
  </si>
  <si>
    <t>Vegetação excessiva nas bordas</t>
  </si>
  <si>
    <t>Esquina com calçada de terra</t>
  </si>
  <si>
    <t>Calçada de terra — ambiente informal</t>
  </si>
  <si>
    <t>Esquina urbana com ciclofaixa e placas, sem lixo</t>
  </si>
  <si>
    <t>TOTAL DE CASOS</t>
  </si>
  <si>
    <t>INSPEÇÃO VISUAL — GEMMA 3 27B — FALSOS NEGATIVOS (FN)</t>
  </si>
  <si>
    <t>Imagens nas quais o modelo NÃO identificou lixo onde havia (omissão).</t>
  </si>
  <si>
    <t>Nome do arquivo</t>
  </si>
  <si>
    <t>Calçada com descarte irregular de poda de árvore</t>
  </si>
  <si>
    <t>ORG</t>
  </si>
  <si>
    <t>VLM não considerou poda de árvore como lixo (verde = natural)</t>
  </si>
  <si>
    <t>GUIA DE CATEGORIAS — INSPEÇÃO VISUAL DE ERROS</t>
  </si>
  <si>
    <t>Código</t>
  </si>
  <si>
    <t>Aplicável a</t>
  </si>
  <si>
    <t>Descrição</t>
  </si>
  <si>
    <t>Exemplo típico</t>
  </si>
  <si>
    <t>Obs. metodológica</t>
  </si>
  <si>
    <t>Vegetação / Natureza</t>
  </si>
  <si>
    <t>FP</t>
  </si>
  <si>
    <t>O modelo confundiu elementos vegetais (plantas ornamentais, gramas, arbustos, folhas, mato) com resíduos.</t>
  </si>
  <si>
    <t>Calçada com plantas decorativas, excesso de vegetação nas bordas, gramado com objetos naturais.</t>
  </si>
  <si>
    <t>Padrão recorrente no Gemma: associa vegetação densa/desordenada a desordem urbana.</t>
  </si>
  <si>
    <t>Objeto Confundido</t>
  </si>
  <si>
    <t>Objeto legítimo e contextualmente normal foi interpretado como resíduo (garrafa de água, lona, pedras, mobiliário urbano).</t>
  </si>
  <si>
    <t>Garrafa PET d'água na frente da casa (prática cultural), cadeiras na rua, pedras, cano, lona preta no gramado.</t>
  </si>
  <si>
    <t>Inclui artefatos culturais que o modelo não reconhece como legítimos (ex.: garrafa para afastar animais).</t>
  </si>
  <si>
    <t>Ambiente Rural / Informal</t>
  </si>
  <si>
    <t>Cenário com calçada de terra, estrada não asfaltada, ambiente periférico ou interiorano gerou classificação errada.</t>
  </si>
  <si>
    <t>Rua de terra, calçada irregular, ambiente com alta vegetação e construção informal.</t>
  </si>
  <si>
    <t>Indica viés do modelo contra ambientes não-urbanizados — limitação relevante para municípios brasileiros.</t>
  </si>
  <si>
    <t>Deterioração / Dano</t>
  </si>
  <si>
    <t>Elementos deteriorados (calçada quebrada, muro pixado, pintura descascada) foram confundidos com resíduo.</t>
  </si>
  <si>
    <t>Calçada muito danificada, portão pixado, paredes em mau estado.</t>
  </si>
  <si>
    <t>O modelo associa degradação visual a lixo, mesmo sem presença de resíduos.</t>
  </si>
  <si>
    <t>Contexto Ambíguo</t>
  </si>
  <si>
    <t>Cena com múltiplos elementos que juntos criam contexto de desordem, mesmo sem lixo identificável.</t>
  </si>
  <si>
    <t>Rua com vegetação + ambiente informal + objetos variados simultaneamente.</t>
  </si>
  <si>
    <t>Usar quando nenhuma causa única domina, mas a cena é 'visualmente confusa'.</t>
  </si>
  <si>
    <t>Indeterminado</t>
  </si>
  <si>
    <t>FP/FN</t>
  </si>
  <si>
    <t>Imagem limpa sem elementos que justifiquem a classificação errada.</t>
  </si>
  <si>
    <t>Usar como último recurso. Se &gt;20% dos erros são IND, considerar revisão das categorias.</t>
  </si>
  <si>
    <t>Resíduo Verde / Orgânico</t>
  </si>
  <si>
    <t>FN</t>
  </si>
  <si>
    <t>Resíduo presente na imagem (poda de árvore, capim cortado, material orgânico) não foi reconhecido como lixo.</t>
  </si>
  <si>
    <t>Descarte irregular de poda de árvore, folhagem amontoada, galhos na calçada.</t>
  </si>
  <si>
    <t>Padrão Gemma: 'verde = natural = não-lixo'. Único FN do Gemma pertence a esta categoria.</t>
  </si>
  <si>
    <t>Resíduo Pequeno / Distante</t>
  </si>
  <si>
    <t>PEQ</t>
  </si>
  <si>
    <t>Lixo presente na imagem mas pequeno, distante ou pouco saliente — não detectado.</t>
  </si>
  <si>
    <t>Bituca, papel pequeno, lata ao fundo, lixo ao longe na cena de Street View.</t>
  </si>
  <si>
    <t>Mais esperado no YOLO (recall mais baixo). Relacionado ao caveat de anotação por região.</t>
  </si>
  <si>
    <t>Resíduo Atípico</t>
  </si>
  <si>
    <t>ATIP</t>
  </si>
  <si>
    <t>Lixo presente mas de tipo raro ou incomum no treino (entulho, material de construção, resíduo industrial).</t>
  </si>
  <si>
    <t>Entulho de obra, tubos, tijolos, resíduo industrial descartado.</t>
  </si>
  <si>
    <t>Mais esperado no YOLO (limitação de distribuição do dataset de treino).</t>
  </si>
  <si>
    <t>Oclusão / Ângulo</t>
  </si>
  <si>
    <t>OCL</t>
  </si>
  <si>
    <t>Lixo presente mas parcialmente ocultado, em ângulo desfavorável ou fora do foco principal.</t>
  </si>
  <si>
    <t>Saco atrás de carro, lixo em canto da imagem, ângulo aéreo do Street View.</t>
  </si>
  <si>
    <t>Comum em imagens de Street View com ângulo elevado.</t>
  </si>
  <si>
    <t>LEGENDA DE CORES</t>
  </si>
  <si>
    <t>Verde claro = Categorias de Falso Positivo (FP)</t>
  </si>
  <si>
    <t>Laranja claro = Categorias de Falso Negativo (FN)</t>
  </si>
  <si>
    <t>Amarelo = Aplicável a ambos (FP/FN)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</si>
</sst>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44444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8F5E9"/>
        <bgColor rgb="FFE8F5E9"/>
      </patternFill>
    </fill>
    <fill>
      <patternFill patternType="solid">
        <fgColor rgb="FF2E75B6"/>
        <bgColor rgb="FF2E75B6"/>
      </patternFill>
    </fill>
    <fill>
      <patternFill patternType="solid">
        <fgColor rgb="FFF8F9FA"/>
        <bgColor rgb="FFF8F9FA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DE7F6"/>
        <bgColor rgb="FFEDE7F6"/>
      </patternFill>
    </fill>
    <fill>
      <patternFill patternType="solid">
        <fgColor rgb="FFFFF3E0"/>
        <bgColor rgb="FFFFF3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1" fillId="8" fontId="6" numFmtId="0" xfId="0" applyAlignment="1" applyBorder="1" applyFill="1" applyFont="1">
      <alignment horizontal="right" vertical="center"/>
    </xf>
    <xf borderId="4" fillId="8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9" fontId="6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1" fillId="9" fontId="5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46.0"/>
    <col customWidth="1" min="3" max="3" width="18.0"/>
    <col customWidth="1" min="4" max="4" width="46.0"/>
    <col customWidth="1" min="5" max="5" width="38.0"/>
    <col customWidth="1" min="6" max="25" width="8.71"/>
  </cols>
  <sheetData>
    <row r="1" ht="31.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2"/>
      <c r="C2" s="2"/>
      <c r="D2" s="2"/>
      <c r="E2" s="3"/>
    </row>
    <row r="3" ht="7.5" customHeight="1"/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51.75" customHeight="1">
      <c r="A5" s="6">
        <v>1.0</v>
      </c>
      <c r="B5" s="7" t="s">
        <v>7</v>
      </c>
      <c r="C5" s="8" t="s">
        <v>8</v>
      </c>
      <c r="D5" s="7" t="s">
        <v>9</v>
      </c>
      <c r="E5" s="7"/>
    </row>
    <row r="6" ht="51.75" customHeight="1">
      <c r="A6" s="9">
        <v>2.0</v>
      </c>
      <c r="B6" s="10" t="s">
        <v>10</v>
      </c>
      <c r="C6" s="8" t="s">
        <v>8</v>
      </c>
      <c r="D6" s="10" t="s">
        <v>11</v>
      </c>
      <c r="E6" s="10"/>
    </row>
    <row r="7" ht="51.75" customHeight="1">
      <c r="A7" s="6">
        <v>3.0</v>
      </c>
      <c r="B7" s="7" t="s">
        <v>12</v>
      </c>
      <c r="C7" s="8" t="s">
        <v>13</v>
      </c>
      <c r="D7" s="10" t="s">
        <v>14</v>
      </c>
      <c r="E7" s="7"/>
    </row>
    <row r="8" ht="51.75" customHeight="1">
      <c r="A8" s="9">
        <v>4.0</v>
      </c>
      <c r="B8" s="10" t="s">
        <v>15</v>
      </c>
      <c r="C8" s="8" t="s">
        <v>8</v>
      </c>
      <c r="D8" s="10" t="s">
        <v>16</v>
      </c>
      <c r="E8" s="10"/>
    </row>
    <row r="9" ht="51.75" customHeight="1">
      <c r="A9" s="6">
        <v>5.0</v>
      </c>
      <c r="B9" s="7" t="s">
        <v>17</v>
      </c>
      <c r="C9" s="8" t="s">
        <v>8</v>
      </c>
      <c r="D9" s="7" t="s">
        <v>18</v>
      </c>
      <c r="E9" s="7"/>
    </row>
    <row r="10" ht="51.75" customHeight="1">
      <c r="A10" s="9">
        <v>6.0</v>
      </c>
      <c r="B10" s="10" t="s">
        <v>19</v>
      </c>
      <c r="C10" s="8" t="s">
        <v>13</v>
      </c>
      <c r="D10" s="10" t="s">
        <v>14</v>
      </c>
      <c r="E10" s="10"/>
    </row>
    <row r="11" ht="51.75" customHeight="1">
      <c r="A11" s="6">
        <v>7.0</v>
      </c>
      <c r="B11" s="7" t="s">
        <v>20</v>
      </c>
      <c r="C11" s="8" t="s">
        <v>13</v>
      </c>
      <c r="D11" s="10" t="s">
        <v>14</v>
      </c>
      <c r="E11" s="7"/>
    </row>
    <row r="12" ht="51.75" customHeight="1">
      <c r="A12" s="9">
        <v>8.0</v>
      </c>
      <c r="B12" s="10" t="s">
        <v>21</v>
      </c>
      <c r="C12" s="8" t="s">
        <v>8</v>
      </c>
      <c r="D12" s="10" t="s">
        <v>22</v>
      </c>
      <c r="E12" s="10"/>
    </row>
    <row r="13" ht="51.75" customHeight="1">
      <c r="A13" s="6">
        <v>9.0</v>
      </c>
      <c r="B13" s="7" t="s">
        <v>23</v>
      </c>
      <c r="C13" s="8" t="s">
        <v>13</v>
      </c>
      <c r="D13" s="10" t="s">
        <v>14</v>
      </c>
      <c r="E13" s="7"/>
    </row>
    <row r="14" ht="51.75" customHeight="1">
      <c r="A14" s="9">
        <v>10.0</v>
      </c>
      <c r="B14" s="10" t="s">
        <v>24</v>
      </c>
      <c r="C14" s="8" t="s">
        <v>13</v>
      </c>
      <c r="D14" s="10" t="s">
        <v>14</v>
      </c>
      <c r="E14" s="10"/>
    </row>
    <row r="15" ht="51.75" customHeight="1">
      <c r="A15" s="6">
        <v>11.0</v>
      </c>
      <c r="B15" s="7" t="s">
        <v>25</v>
      </c>
      <c r="C15" s="8" t="s">
        <v>26</v>
      </c>
      <c r="D15" s="7" t="s">
        <v>27</v>
      </c>
      <c r="E15" s="7"/>
    </row>
    <row r="16" ht="51.75" customHeight="1">
      <c r="A16" s="9">
        <v>12.0</v>
      </c>
      <c r="B16" s="10" t="s">
        <v>28</v>
      </c>
      <c r="C16" s="8" t="s">
        <v>26</v>
      </c>
      <c r="D16" s="10" t="s">
        <v>29</v>
      </c>
      <c r="E16" s="10"/>
    </row>
    <row r="17" ht="51.75" customHeight="1">
      <c r="A17" s="6">
        <v>13.0</v>
      </c>
      <c r="B17" s="7" t="s">
        <v>30</v>
      </c>
      <c r="C17" s="8" t="s">
        <v>26</v>
      </c>
      <c r="D17" s="7" t="s">
        <v>31</v>
      </c>
      <c r="E17" s="7"/>
    </row>
    <row r="18" ht="51.75" customHeight="1">
      <c r="A18" s="9">
        <v>14.0</v>
      </c>
      <c r="B18" s="10" t="s">
        <v>32</v>
      </c>
      <c r="C18" s="8" t="s">
        <v>33</v>
      </c>
      <c r="D18" s="10" t="s">
        <v>34</v>
      </c>
      <c r="E18" s="10"/>
    </row>
    <row r="19" ht="51.75" customHeight="1">
      <c r="A19" s="6">
        <v>15.0</v>
      </c>
      <c r="B19" s="7" t="s">
        <v>35</v>
      </c>
      <c r="C19" s="8" t="s">
        <v>13</v>
      </c>
      <c r="D19" s="10" t="s">
        <v>14</v>
      </c>
      <c r="E19" s="7"/>
    </row>
    <row r="20" ht="51.75" customHeight="1">
      <c r="A20" s="9">
        <v>16.0</v>
      </c>
      <c r="B20" s="10" t="s">
        <v>36</v>
      </c>
      <c r="C20" s="8" t="s">
        <v>26</v>
      </c>
      <c r="D20" s="10" t="s">
        <v>37</v>
      </c>
      <c r="E20" s="10"/>
    </row>
    <row r="21" ht="51.75" customHeight="1">
      <c r="A21" s="6">
        <v>17.0</v>
      </c>
      <c r="B21" s="7" t="s">
        <v>38</v>
      </c>
      <c r="C21" s="8" t="s">
        <v>39</v>
      </c>
      <c r="D21" s="7" t="s">
        <v>40</v>
      </c>
      <c r="E21" s="7"/>
    </row>
    <row r="22" ht="51.75" customHeight="1">
      <c r="A22" s="9">
        <v>18.0</v>
      </c>
      <c r="B22" s="10" t="s">
        <v>41</v>
      </c>
      <c r="C22" s="8" t="s">
        <v>13</v>
      </c>
      <c r="D22" s="10" t="s">
        <v>14</v>
      </c>
      <c r="E22" s="10"/>
    </row>
    <row r="23" ht="51.75" customHeight="1">
      <c r="A23" s="6">
        <v>19.0</v>
      </c>
      <c r="B23" s="7" t="s">
        <v>42</v>
      </c>
      <c r="C23" s="8" t="s">
        <v>13</v>
      </c>
      <c r="D23" s="10" t="s">
        <v>14</v>
      </c>
      <c r="E23" s="7"/>
    </row>
    <row r="24" ht="51.75" customHeight="1">
      <c r="A24" s="9">
        <v>20.0</v>
      </c>
      <c r="B24" s="10" t="s">
        <v>43</v>
      </c>
      <c r="C24" s="8" t="s">
        <v>33</v>
      </c>
      <c r="D24" s="10" t="s">
        <v>44</v>
      </c>
      <c r="E24" s="10"/>
    </row>
    <row r="25" ht="51.75" customHeight="1">
      <c r="A25" s="6">
        <v>21.0</v>
      </c>
      <c r="B25" s="7" t="s">
        <v>45</v>
      </c>
      <c r="C25" s="8" t="s">
        <v>13</v>
      </c>
      <c r="D25" s="10" t="s">
        <v>14</v>
      </c>
      <c r="E25" s="7"/>
    </row>
    <row r="26" ht="51.75" customHeight="1">
      <c r="A26" s="9">
        <v>22.0</v>
      </c>
      <c r="B26" s="10" t="s">
        <v>46</v>
      </c>
      <c r="C26" s="8" t="s">
        <v>13</v>
      </c>
      <c r="D26" s="10" t="s">
        <v>14</v>
      </c>
      <c r="E26" s="10"/>
    </row>
    <row r="27" ht="51.75" customHeight="1">
      <c r="A27" s="6">
        <v>23.0</v>
      </c>
      <c r="B27" s="7" t="s">
        <v>47</v>
      </c>
      <c r="C27" s="8" t="s">
        <v>13</v>
      </c>
      <c r="D27" s="10" t="s">
        <v>14</v>
      </c>
      <c r="E27" s="7"/>
    </row>
    <row r="28" ht="51.75" customHeight="1">
      <c r="A28" s="9">
        <v>24.0</v>
      </c>
      <c r="B28" s="10" t="s">
        <v>48</v>
      </c>
      <c r="C28" s="8" t="s">
        <v>26</v>
      </c>
      <c r="D28" s="10" t="s">
        <v>31</v>
      </c>
      <c r="E28" s="10"/>
    </row>
    <row r="29" ht="51.75" customHeight="1">
      <c r="A29" s="9">
        <v>25.0</v>
      </c>
      <c r="B29" s="10" t="s">
        <v>49</v>
      </c>
      <c r="C29" s="8" t="s">
        <v>26</v>
      </c>
      <c r="D29" s="10" t="s">
        <v>31</v>
      </c>
      <c r="E29" s="10"/>
    </row>
    <row r="30" ht="51.75" customHeight="1">
      <c r="A30" s="6">
        <v>26.0</v>
      </c>
      <c r="B30" s="7" t="s">
        <v>50</v>
      </c>
      <c r="C30" s="8" t="s">
        <v>13</v>
      </c>
      <c r="D30" s="10" t="s">
        <v>14</v>
      </c>
      <c r="E30" s="7"/>
    </row>
    <row r="31" ht="51.75" customHeight="1">
      <c r="A31" s="9">
        <v>27.0</v>
      </c>
      <c r="B31" s="10" t="s">
        <v>51</v>
      </c>
      <c r="C31" s="8" t="s">
        <v>39</v>
      </c>
      <c r="D31" s="10" t="s">
        <v>52</v>
      </c>
      <c r="E31" s="10"/>
    </row>
    <row r="32" ht="51.75" customHeight="1">
      <c r="A32" s="6">
        <v>28.0</v>
      </c>
      <c r="B32" s="7" t="s">
        <v>53</v>
      </c>
      <c r="C32" s="8" t="s">
        <v>54</v>
      </c>
      <c r="D32" s="7" t="s">
        <v>55</v>
      </c>
      <c r="E32" s="7"/>
    </row>
    <row r="33" ht="51.75" customHeight="1">
      <c r="A33" s="9">
        <v>29.0</v>
      </c>
      <c r="B33" s="10" t="s">
        <v>56</v>
      </c>
      <c r="C33" s="8" t="s">
        <v>13</v>
      </c>
      <c r="D33" s="10" t="s">
        <v>14</v>
      </c>
      <c r="E33" s="10"/>
    </row>
    <row r="34" ht="51.75" customHeight="1">
      <c r="A34" s="6">
        <v>30.0</v>
      </c>
      <c r="B34" s="7" t="s">
        <v>57</v>
      </c>
      <c r="C34" s="8" t="s">
        <v>13</v>
      </c>
      <c r="D34" s="10" t="s">
        <v>14</v>
      </c>
      <c r="E34" s="7"/>
    </row>
    <row r="35" ht="51.75" customHeight="1">
      <c r="A35" s="9">
        <v>31.0</v>
      </c>
      <c r="B35" s="10" t="s">
        <v>58</v>
      </c>
      <c r="C35" s="8" t="s">
        <v>39</v>
      </c>
      <c r="D35" s="10" t="s">
        <v>59</v>
      </c>
      <c r="E35" s="10"/>
    </row>
    <row r="36" ht="51.75" customHeight="1">
      <c r="A36" s="6">
        <v>32.0</v>
      </c>
      <c r="B36" s="7" t="s">
        <v>60</v>
      </c>
      <c r="C36" s="8" t="s">
        <v>13</v>
      </c>
      <c r="D36" s="10" t="s">
        <v>14</v>
      </c>
      <c r="E36" s="7"/>
    </row>
    <row r="37" ht="51.75" customHeight="1">
      <c r="A37" s="9">
        <v>33.0</v>
      </c>
      <c r="B37" s="10" t="s">
        <v>61</v>
      </c>
      <c r="C37" s="8" t="s">
        <v>13</v>
      </c>
      <c r="D37" s="10" t="s">
        <v>14</v>
      </c>
      <c r="E37" s="10"/>
    </row>
    <row r="38" ht="51.75" customHeight="1">
      <c r="A38" s="6">
        <v>34.0</v>
      </c>
      <c r="B38" s="7" t="s">
        <v>62</v>
      </c>
      <c r="C38" s="8" t="s">
        <v>13</v>
      </c>
      <c r="D38" s="10" t="s">
        <v>14</v>
      </c>
      <c r="E38" s="7"/>
    </row>
    <row r="39" ht="51.75" customHeight="1">
      <c r="A39" s="9">
        <v>35.0</v>
      </c>
      <c r="B39" s="10" t="s">
        <v>63</v>
      </c>
      <c r="C39" s="8" t="s">
        <v>54</v>
      </c>
      <c r="D39" s="10" t="s">
        <v>64</v>
      </c>
      <c r="E39" s="10"/>
    </row>
    <row r="40" ht="51.75" customHeight="1">
      <c r="A40" s="6">
        <v>36.0</v>
      </c>
      <c r="B40" s="7" t="s">
        <v>65</v>
      </c>
      <c r="C40" s="8" t="s">
        <v>26</v>
      </c>
      <c r="D40" s="7" t="s">
        <v>66</v>
      </c>
      <c r="E40" s="7"/>
    </row>
    <row r="41" ht="51.75" customHeight="1">
      <c r="A41" s="9">
        <v>37.0</v>
      </c>
      <c r="B41" s="10" t="s">
        <v>67</v>
      </c>
      <c r="C41" s="8" t="s">
        <v>8</v>
      </c>
      <c r="D41" s="10" t="s">
        <v>68</v>
      </c>
      <c r="E41" s="10"/>
    </row>
    <row r="42" ht="51.75" customHeight="1">
      <c r="A42" s="6">
        <v>38.0</v>
      </c>
      <c r="B42" s="7" t="s">
        <v>69</v>
      </c>
      <c r="C42" s="8" t="s">
        <v>13</v>
      </c>
      <c r="D42" s="10" t="s">
        <v>14</v>
      </c>
      <c r="E42" s="7"/>
    </row>
    <row r="43" ht="51.75" customHeight="1">
      <c r="A43" s="9">
        <v>39.0</v>
      </c>
      <c r="B43" s="10" t="s">
        <v>70</v>
      </c>
      <c r="C43" s="8" t="s">
        <v>39</v>
      </c>
      <c r="D43" s="10" t="s">
        <v>71</v>
      </c>
      <c r="E43" s="10"/>
    </row>
    <row r="44" ht="51.75" customHeight="1">
      <c r="A44" s="6">
        <v>40.0</v>
      </c>
      <c r="B44" s="7" t="s">
        <v>72</v>
      </c>
      <c r="C44" s="8" t="s">
        <v>54</v>
      </c>
      <c r="D44" s="7" t="s">
        <v>73</v>
      </c>
      <c r="E44" s="7"/>
    </row>
    <row r="45" ht="51.75" customHeight="1">
      <c r="A45" s="9">
        <v>41.0</v>
      </c>
      <c r="B45" s="10" t="s">
        <v>74</v>
      </c>
      <c r="C45" s="8" t="s">
        <v>26</v>
      </c>
      <c r="D45" s="10" t="s">
        <v>75</v>
      </c>
      <c r="E45" s="10"/>
    </row>
    <row r="46" ht="51.75" customHeight="1">
      <c r="A46" s="6">
        <v>42.0</v>
      </c>
      <c r="B46" s="7" t="s">
        <v>76</v>
      </c>
      <c r="C46" s="8" t="s">
        <v>54</v>
      </c>
      <c r="D46" s="7" t="s">
        <v>77</v>
      </c>
      <c r="E46" s="7"/>
    </row>
    <row r="47" ht="51.75" customHeight="1">
      <c r="A47" s="9">
        <v>43.0</v>
      </c>
      <c r="B47" s="10" t="s">
        <v>78</v>
      </c>
      <c r="C47" s="8" t="s">
        <v>26</v>
      </c>
      <c r="D47" s="10" t="s">
        <v>79</v>
      </c>
      <c r="E47" s="10"/>
    </row>
    <row r="48" ht="51.75" customHeight="1">
      <c r="A48" s="6">
        <v>44.0</v>
      </c>
      <c r="B48" s="7" t="s">
        <v>80</v>
      </c>
      <c r="C48" s="8" t="s">
        <v>54</v>
      </c>
      <c r="D48" s="7" t="s">
        <v>81</v>
      </c>
      <c r="E48" s="7"/>
    </row>
    <row r="49" ht="51.75" customHeight="1">
      <c r="A49" s="9">
        <v>45.0</v>
      </c>
      <c r="B49" s="10" t="s">
        <v>82</v>
      </c>
      <c r="C49" s="8" t="s">
        <v>13</v>
      </c>
      <c r="D49" s="10" t="s">
        <v>14</v>
      </c>
      <c r="E49" s="10"/>
    </row>
    <row r="50" ht="24.0" customHeight="1">
      <c r="A50" s="11" t="s">
        <v>83</v>
      </c>
      <c r="B50" s="3"/>
      <c r="C50" s="12">
        <f t="shared" ref="C50:E50" si="1">COUNTA(C5:C49)</f>
        <v>45</v>
      </c>
      <c r="D50" s="12">
        <f t="shared" si="1"/>
        <v>45</v>
      </c>
      <c r="E50" s="12">
        <f t="shared" si="1"/>
        <v>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50"/>
  <mergeCells count="3">
    <mergeCell ref="A1:E1"/>
    <mergeCell ref="A2:E2"/>
    <mergeCell ref="A50:B50"/>
  </mergeCells>
  <dataValidations>
    <dataValidation type="list" allowBlank="1" showErrorMessage="1" sqref="C5:C49">
      <formula1>'Guia de Categorias'!$B$4:$B$9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46.0"/>
    <col customWidth="1" min="4" max="4" width="18.0"/>
    <col customWidth="1" min="5" max="5" width="46.0"/>
    <col customWidth="1" min="6" max="6" width="38.0"/>
    <col customWidth="1" min="7" max="25" width="8.71"/>
  </cols>
  <sheetData>
    <row r="1" ht="31.5" customHeight="1">
      <c r="A1" s="1" t="s">
        <v>84</v>
      </c>
      <c r="B1" s="2"/>
      <c r="C1" s="2"/>
      <c r="D1" s="2"/>
      <c r="E1" s="2"/>
      <c r="F1" s="3"/>
    </row>
    <row r="2" ht="15.75" customHeight="1">
      <c r="A2" s="4" t="s">
        <v>85</v>
      </c>
      <c r="B2" s="2"/>
      <c r="C2" s="2"/>
      <c r="D2" s="2"/>
      <c r="E2" s="2"/>
      <c r="F2" s="3"/>
    </row>
    <row r="3" ht="7.5" customHeight="1"/>
    <row r="4" ht="36.0" customHeight="1">
      <c r="A4" s="5" t="s">
        <v>2</v>
      </c>
      <c r="B4" s="5" t="s">
        <v>86</v>
      </c>
      <c r="C4" s="5" t="s">
        <v>3</v>
      </c>
      <c r="D4" s="5" t="s">
        <v>4</v>
      </c>
      <c r="E4" s="5" t="s">
        <v>5</v>
      </c>
      <c r="F4" s="5" t="s">
        <v>6</v>
      </c>
    </row>
    <row r="5" ht="51.75" customHeight="1">
      <c r="A5" s="6">
        <v>1.0</v>
      </c>
      <c r="B5" s="7"/>
      <c r="C5" s="7" t="s">
        <v>87</v>
      </c>
      <c r="D5" s="8" t="s">
        <v>88</v>
      </c>
      <c r="E5" s="7" t="s">
        <v>89</v>
      </c>
      <c r="F5" s="7"/>
    </row>
    <row r="6" ht="24.0" customHeight="1">
      <c r="A6" s="11" t="s">
        <v>83</v>
      </c>
      <c r="B6" s="2"/>
      <c r="C6" s="3"/>
      <c r="D6" s="12">
        <f t="shared" ref="D6:F6" si="1">COUNTA(D5)</f>
        <v>1</v>
      </c>
      <c r="E6" s="12">
        <f t="shared" si="1"/>
        <v>1</v>
      </c>
      <c r="F6" s="12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6:C6"/>
  </mergeCells>
  <dataValidations>
    <dataValidation type="list" allowBlank="1" showErrorMessage="1" sqref="D5">
      <formula1>'Guia de Categorias'!$B$9:$B$13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14.0"/>
    <col customWidth="1" min="4" max="4" width="44.0"/>
    <col customWidth="1" min="5" max="5" width="42.0"/>
    <col customWidth="1" min="6" max="6" width="44.0"/>
    <col customWidth="1" min="7" max="26" width="8.71"/>
  </cols>
  <sheetData>
    <row r="1" ht="32.25" customHeight="1">
      <c r="A1" s="1" t="s">
        <v>90</v>
      </c>
      <c r="B1" s="2"/>
      <c r="C1" s="2"/>
      <c r="D1" s="2"/>
      <c r="E1" s="2"/>
      <c r="F1" s="3"/>
    </row>
    <row r="2" ht="7.5" customHeight="1"/>
    <row r="3">
      <c r="A3" s="5" t="s">
        <v>4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</row>
    <row r="4" ht="51.75" customHeight="1">
      <c r="A4" s="13" t="s">
        <v>96</v>
      </c>
      <c r="B4" s="14" t="s">
        <v>26</v>
      </c>
      <c r="C4" s="15" t="s">
        <v>97</v>
      </c>
      <c r="D4" s="7" t="s">
        <v>98</v>
      </c>
      <c r="E4" s="7" t="s">
        <v>99</v>
      </c>
      <c r="F4" s="16" t="s">
        <v>100</v>
      </c>
    </row>
    <row r="5" ht="51.75" customHeight="1">
      <c r="A5" s="13" t="s">
        <v>101</v>
      </c>
      <c r="B5" s="14" t="s">
        <v>8</v>
      </c>
      <c r="C5" s="15" t="s">
        <v>97</v>
      </c>
      <c r="D5" s="10" t="s">
        <v>102</v>
      </c>
      <c r="E5" s="10" t="s">
        <v>103</v>
      </c>
      <c r="F5" s="17" t="s">
        <v>104</v>
      </c>
    </row>
    <row r="6" ht="51.75" customHeight="1">
      <c r="A6" s="13" t="s">
        <v>105</v>
      </c>
      <c r="B6" s="14" t="s">
        <v>54</v>
      </c>
      <c r="C6" s="15" t="s">
        <v>97</v>
      </c>
      <c r="D6" s="7" t="s">
        <v>106</v>
      </c>
      <c r="E6" s="7" t="s">
        <v>107</v>
      </c>
      <c r="F6" s="16" t="s">
        <v>108</v>
      </c>
    </row>
    <row r="7" ht="51.75" customHeight="1">
      <c r="A7" s="13" t="s">
        <v>109</v>
      </c>
      <c r="B7" s="14" t="s">
        <v>33</v>
      </c>
      <c r="C7" s="15" t="s">
        <v>97</v>
      </c>
      <c r="D7" s="10" t="s">
        <v>110</v>
      </c>
      <c r="E7" s="10" t="s">
        <v>111</v>
      </c>
      <c r="F7" s="17" t="s">
        <v>112</v>
      </c>
    </row>
    <row r="8" ht="51.75" customHeight="1">
      <c r="A8" s="13" t="s">
        <v>113</v>
      </c>
      <c r="B8" s="14" t="s">
        <v>39</v>
      </c>
      <c r="C8" s="15" t="s">
        <v>97</v>
      </c>
      <c r="D8" s="7" t="s">
        <v>114</v>
      </c>
      <c r="E8" s="7" t="s">
        <v>115</v>
      </c>
      <c r="F8" s="16" t="s">
        <v>116</v>
      </c>
    </row>
    <row r="9" ht="51.75" customHeight="1">
      <c r="A9" s="18" t="s">
        <v>117</v>
      </c>
      <c r="B9" s="19" t="s">
        <v>13</v>
      </c>
      <c r="C9" s="20" t="s">
        <v>118</v>
      </c>
      <c r="D9" s="10" t="s">
        <v>14</v>
      </c>
      <c r="E9" s="10" t="s">
        <v>119</v>
      </c>
      <c r="F9" s="17" t="s">
        <v>120</v>
      </c>
    </row>
    <row r="10" ht="51.75" customHeight="1">
      <c r="A10" s="21" t="s">
        <v>121</v>
      </c>
      <c r="B10" s="22" t="s">
        <v>88</v>
      </c>
      <c r="C10" s="23" t="s">
        <v>122</v>
      </c>
      <c r="D10" s="10" t="s">
        <v>123</v>
      </c>
      <c r="E10" s="10" t="s">
        <v>124</v>
      </c>
      <c r="F10" s="17" t="s">
        <v>125</v>
      </c>
    </row>
    <row r="11" ht="51.75" customHeight="1">
      <c r="A11" s="21" t="s">
        <v>126</v>
      </c>
      <c r="B11" s="22" t="s">
        <v>127</v>
      </c>
      <c r="C11" s="23" t="s">
        <v>122</v>
      </c>
      <c r="D11" s="7" t="s">
        <v>128</v>
      </c>
      <c r="E11" s="7" t="s">
        <v>129</v>
      </c>
      <c r="F11" s="16" t="s">
        <v>130</v>
      </c>
    </row>
    <row r="12" ht="51.75" customHeight="1">
      <c r="A12" s="21" t="s">
        <v>131</v>
      </c>
      <c r="B12" s="22" t="s">
        <v>132</v>
      </c>
      <c r="C12" s="23" t="s">
        <v>122</v>
      </c>
      <c r="D12" s="10" t="s">
        <v>133</v>
      </c>
      <c r="E12" s="10" t="s">
        <v>134</v>
      </c>
      <c r="F12" s="17" t="s">
        <v>135</v>
      </c>
    </row>
    <row r="13" ht="51.75" customHeight="1">
      <c r="A13" s="21" t="s">
        <v>136</v>
      </c>
      <c r="B13" s="22" t="s">
        <v>137</v>
      </c>
      <c r="C13" s="23" t="s">
        <v>122</v>
      </c>
      <c r="D13" s="7" t="s">
        <v>138</v>
      </c>
      <c r="E13" s="7" t="s">
        <v>139</v>
      </c>
      <c r="F13" s="16" t="s">
        <v>140</v>
      </c>
    </row>
    <row r="15" ht="19.5" customHeight="1">
      <c r="A15" s="24" t="s">
        <v>141</v>
      </c>
      <c r="B15" s="2"/>
      <c r="C15" s="2"/>
      <c r="D15" s="2"/>
      <c r="E15" s="2"/>
      <c r="F15" s="3"/>
    </row>
    <row r="16" ht="18.0" customHeight="1">
      <c r="A16" s="25" t="s">
        <v>142</v>
      </c>
      <c r="B16" s="2"/>
      <c r="C16" s="2"/>
      <c r="D16" s="2"/>
      <c r="E16" s="2"/>
      <c r="F16" s="3"/>
    </row>
    <row r="17" ht="18.0" customHeight="1">
      <c r="A17" s="26" t="s">
        <v>143</v>
      </c>
      <c r="B17" s="2"/>
      <c r="C17" s="2"/>
      <c r="D17" s="2"/>
      <c r="E17" s="2"/>
      <c r="F17" s="3"/>
    </row>
    <row r="18" ht="18.0" customHeight="1">
      <c r="A18" s="27" t="s">
        <v>144</v>
      </c>
      <c r="B18" s="2"/>
      <c r="C18" s="2"/>
      <c r="D18" s="2"/>
      <c r="E18" s="2"/>
      <c r="F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15:F15"/>
    <mergeCell ref="A16:F16"/>
    <mergeCell ref="A17:F17"/>
    <mergeCell ref="A18:F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2026-06-10T14:00:41Z</dcterms:created>
  <dc:creator>openpyxl</dc:creator>
</cp:coreProperties>
</file>